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10" yWindow="490" windowWidth="13120" windowHeight="4240"/>
  </bookViews>
  <sheets>
    <sheet name="ticket" sheetId="1" r:id="rId1"/>
    <sheet name="feedbacks" sheetId="2" r:id="rId2"/>
  </sheets>
  <calcPr calcId="124519"/>
  <fileRecoveryPr repairLoad="1"/>
</workbook>
</file>

<file path=xl/calcChain.xml><?xml version="1.0" encoding="utf-8"?>
<calcChain xmlns="http://schemas.openxmlformats.org/spreadsheetml/2006/main">
  <c r="I22" i="1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"/>
  <c r="G2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"/>
  <c r="D3" i="2"/>
  <c r="D2"/>
  <c r="D4"/>
  <c r="D5"/>
  <c r="D6"/>
  <c r="D7"/>
  <c r="D8"/>
  <c r="D9"/>
  <c r="D10"/>
  <c r="D11"/>
  <c r="D12"/>
  <c r="D13"/>
  <c r="D14"/>
  <c r="D15"/>
  <c r="D16"/>
  <c r="D17"/>
  <c r="D18"/>
  <c r="D19"/>
  <c r="D20"/>
  <c r="D21"/>
</calcChain>
</file>

<file path=xl/sharedStrings.xml><?xml version="1.0" encoding="utf-8"?>
<sst xmlns="http://schemas.openxmlformats.org/spreadsheetml/2006/main" count="151" uniqueCount="114">
  <si>
    <t>ticket_id</t>
  </si>
  <si>
    <t>created_at</t>
  </si>
  <si>
    <t>closed_at</t>
  </si>
  <si>
    <t>outlet_id</t>
  </si>
  <si>
    <t>cms_id</t>
  </si>
  <si>
    <t>tkt-001</t>
  </si>
  <si>
    <t>2021-08-10 14:27:00</t>
  </si>
  <si>
    <t>2021-08-11 18:27:00</t>
  </si>
  <si>
    <t>out-B39</t>
  </si>
  <si>
    <t>cms-001</t>
  </si>
  <si>
    <t>tkt-002</t>
  </si>
  <si>
    <t>2021-08-11 12:34:00</t>
  </si>
  <si>
    <t>2021-08-14 11:34:00</t>
  </si>
  <si>
    <t>out-A12</t>
  </si>
  <si>
    <t>cms-002</t>
  </si>
  <si>
    <t>tkt-003</t>
  </si>
  <si>
    <t>2021-08-12 17:31:00</t>
  </si>
  <si>
    <t>2021-08-14 09:31:00</t>
  </si>
  <si>
    <t>cms-003</t>
  </si>
  <si>
    <t>tkt-004</t>
  </si>
  <si>
    <t>2021-08-16 16:29:00</t>
  </si>
  <si>
    <t>2021-08-17 23:29:00</t>
  </si>
  <si>
    <t>out-C77</t>
  </si>
  <si>
    <t>cms-004</t>
  </si>
  <si>
    <t>tkt-005</t>
  </si>
  <si>
    <t>2021-08-07 18:10:00</t>
  </si>
  <si>
    <t>2021-08-08 20:10:00</t>
  </si>
  <si>
    <t>cms-005</t>
  </si>
  <si>
    <t>tkt-006</t>
  </si>
  <si>
    <t>2021-08-16 14:50:00</t>
  </si>
  <si>
    <t>2021-08-18 20:50:00</t>
  </si>
  <si>
    <t>cms-006</t>
  </si>
  <si>
    <t>tkt-007</t>
  </si>
  <si>
    <t>2021-08-07 11:37:00</t>
  </si>
  <si>
    <t>2021-08-09 16:37:00</t>
  </si>
  <si>
    <t>cms-007</t>
  </si>
  <si>
    <t>tkt-008</t>
  </si>
  <si>
    <t>2021-08-08 12:13:00</t>
  </si>
  <si>
    <t>2021-08-09 23:13:00</t>
  </si>
  <si>
    <t>cms-008</t>
  </si>
  <si>
    <t>tkt-009</t>
  </si>
  <si>
    <t>2021-08-03 07:39:00</t>
  </si>
  <si>
    <t>2021-08-06 01:39:00</t>
  </si>
  <si>
    <t>cms-009</t>
  </si>
  <si>
    <t>tkt-010</t>
  </si>
  <si>
    <t>2021-08-16 06:53:00</t>
  </si>
  <si>
    <t>2021-08-17 09:53:00</t>
  </si>
  <si>
    <t>cms-010</t>
  </si>
  <si>
    <t>tkt-011</t>
  </si>
  <si>
    <t>2021-08-08 16:03:00</t>
  </si>
  <si>
    <t>2021-08-09 22:03:00</t>
  </si>
  <si>
    <t>cms-011</t>
  </si>
  <si>
    <t>tkt-012</t>
  </si>
  <si>
    <t>2021-08-21 13:50:00</t>
  </si>
  <si>
    <t>2021-08-24 07:50:00</t>
  </si>
  <si>
    <t>cms-012</t>
  </si>
  <si>
    <t>tkt-013</t>
  </si>
  <si>
    <t>2021-08-08 16:28:00</t>
  </si>
  <si>
    <t>2021-08-11 05:28:00</t>
  </si>
  <si>
    <t>cms-013</t>
  </si>
  <si>
    <t>tkt-014</t>
  </si>
  <si>
    <t>2021-08-19 07:56:00</t>
  </si>
  <si>
    <t>2021-08-19 18:56:00</t>
  </si>
  <si>
    <t>cms-014</t>
  </si>
  <si>
    <t>tkt-015</t>
  </si>
  <si>
    <t>2021-08-02 12:36:00</t>
  </si>
  <si>
    <t>2021-08-04 07:36:00</t>
  </si>
  <si>
    <t>cms-015</t>
  </si>
  <si>
    <t>tkt-016</t>
  </si>
  <si>
    <t>2021-08-03 03:51:00</t>
  </si>
  <si>
    <t>2021-08-04 22:51:00</t>
  </si>
  <si>
    <t>cms-016</t>
  </si>
  <si>
    <t>tkt-017</t>
  </si>
  <si>
    <t>2021-08-11 16:26:00</t>
  </si>
  <si>
    <t>2021-08-12 05:26:00</t>
  </si>
  <si>
    <t>cms-017</t>
  </si>
  <si>
    <t>tkt-018</t>
  </si>
  <si>
    <t>2021-08-12 06:06:00</t>
  </si>
  <si>
    <t>2021-08-13 06:06:00</t>
  </si>
  <si>
    <t>cms-018</t>
  </si>
  <si>
    <t>tkt-019</t>
  </si>
  <si>
    <t>2021-08-21 01:33:00</t>
  </si>
  <si>
    <t>2021-08-23 21:33:00</t>
  </si>
  <si>
    <t>cms-019</t>
  </si>
  <si>
    <t>tkt-020</t>
  </si>
  <si>
    <t>2021-08-17 13:09:00</t>
  </si>
  <si>
    <t>2021-08-19 14:09:00</t>
  </si>
  <si>
    <t>cms-020</t>
  </si>
  <si>
    <t>feedback_at</t>
  </si>
  <si>
    <t>feedback_rating</t>
  </si>
  <si>
    <t>ticket_created_at</t>
  </si>
  <si>
    <t>2021-08-24 13:45:00</t>
  </si>
  <si>
    <t>2021-08-18 21:47:00</t>
  </si>
  <si>
    <t>2021-08-28 16:20:00</t>
  </si>
  <si>
    <t>2021-08-26 13:51:00</t>
  </si>
  <si>
    <t>2021-08-25 02:37:00</t>
  </si>
  <si>
    <t>2021-08-09 05:25:00</t>
  </si>
  <si>
    <t>2021-08-01 19:06:00</t>
  </si>
  <si>
    <t>2021-08-16 10:04:00</t>
  </si>
  <si>
    <t>2021-08-18 14:14:00</t>
  </si>
  <si>
    <t>2021-08-03 10:08:00</t>
  </si>
  <si>
    <t>2021-08-24 10:56:00</t>
  </si>
  <si>
    <t>2021-08-03 13:39:00</t>
  </si>
  <si>
    <t>2021-08-07 06:15:00</t>
  </si>
  <si>
    <t>2021-08-24 12:29:00</t>
  </si>
  <si>
    <t>2021-08-16 22:51:00</t>
  </si>
  <si>
    <t>2021-08-04 00:37:00</t>
  </si>
  <si>
    <t>2021-08-06 13:30:00</t>
  </si>
  <si>
    <t>2021-08-10 04:34:00</t>
  </si>
  <si>
    <t>2021-08-18 17:24:00</t>
  </si>
  <si>
    <t>2021-08-28 01:52:00</t>
  </si>
  <si>
    <t>uv</t>
  </si>
  <si>
    <t>No of Tkt on same hour</t>
  </si>
  <si>
    <t>No of Tkt on same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</si>
</sst>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>
      <selection activeCell="D24" sqref="D24"/>
    </sheetView>
  </sheetViews>
  <sheetFormatPr defaultRowHeight="14.5"/>
  <cols>
    <col min="3" max="3" width="18.6328125" customWidth="1"/>
    <col min="4" max="4" width="30" customWidth="1"/>
    <col min="6" max="6" width="20.453125" customWidth="1"/>
    <col min="7" max="7" width="5.453125" customWidth="1"/>
    <col min="8" max="8" width="25.81640625" customWidth="1"/>
    <col min="9" max="9" width="5.7265625" customWidth="1"/>
  </cols>
  <sheetData>
    <row r="1" spans="1:9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9">
      <c r="A2" t="s">
        <v>111</v>
      </c>
      <c r="B2" t="s">
        <v>5</v>
      </c>
      <c r="C2" t="s">
        <v>6</v>
      </c>
      <c r="D2" t="s">
        <v>7</v>
      </c>
      <c r="E2" t="s">
        <v>8</v>
      </c>
      <c r="G2">
        <f>IF(HOUR(C2) = HOUR(D2),1,0)</f>
        <v>0</v>
      </c>
      <c r="I2">
        <f>IF(DAY(C2)=DAY(D2),1,0)</f>
        <v>0</v>
      </c>
    </row>
    <row r="3" spans="1:9">
      <c r="A3" t="s">
        <v>14</v>
      </c>
      <c r="B3" t="s">
        <v>10</v>
      </c>
      <c r="C3" t="s">
        <v>11</v>
      </c>
      <c r="D3" t="s">
        <v>12</v>
      </c>
      <c r="E3" t="s">
        <v>13</v>
      </c>
      <c r="G3">
        <f t="shared" ref="G3:G21" si="0">IF(HOUR(C3) = HOUR(D3),1,0)</f>
        <v>0</v>
      </c>
      <c r="I3">
        <f t="shared" ref="I3:I21" si="1">IF(DAY(C3)=DAY(D3),1,0)</f>
        <v>0</v>
      </c>
    </row>
    <row r="4" spans="1:9">
      <c r="A4" t="s">
        <v>18</v>
      </c>
      <c r="B4" t="s">
        <v>15</v>
      </c>
      <c r="C4" t="s">
        <v>16</v>
      </c>
      <c r="D4" t="s">
        <v>17</v>
      </c>
      <c r="E4" t="s">
        <v>8</v>
      </c>
      <c r="G4">
        <f t="shared" si="0"/>
        <v>0</v>
      </c>
      <c r="I4">
        <f t="shared" si="1"/>
        <v>0</v>
      </c>
    </row>
    <row r="5" spans="1:9">
      <c r="A5" t="s">
        <v>23</v>
      </c>
      <c r="B5" t="s">
        <v>19</v>
      </c>
      <c r="C5" t="s">
        <v>20</v>
      </c>
      <c r="D5" t="s">
        <v>21</v>
      </c>
      <c r="E5" t="s">
        <v>22</v>
      </c>
      <c r="G5">
        <f t="shared" si="0"/>
        <v>0</v>
      </c>
      <c r="I5">
        <f t="shared" si="1"/>
        <v>0</v>
      </c>
    </row>
    <row r="6" spans="1:9">
      <c r="A6" t="s">
        <v>27</v>
      </c>
      <c r="B6" t="s">
        <v>24</v>
      </c>
      <c r="C6" t="s">
        <v>25</v>
      </c>
      <c r="D6" t="s">
        <v>26</v>
      </c>
      <c r="E6" t="s">
        <v>22</v>
      </c>
      <c r="G6">
        <f t="shared" si="0"/>
        <v>0</v>
      </c>
      <c r="I6">
        <f t="shared" si="1"/>
        <v>0</v>
      </c>
    </row>
    <row r="7" spans="1:9">
      <c r="A7" t="s">
        <v>31</v>
      </c>
      <c r="B7" t="s">
        <v>28</v>
      </c>
      <c r="C7" t="s">
        <v>29</v>
      </c>
      <c r="D7" t="s">
        <v>30</v>
      </c>
      <c r="E7" t="s">
        <v>8</v>
      </c>
      <c r="G7">
        <f t="shared" si="0"/>
        <v>0</v>
      </c>
      <c r="I7">
        <f t="shared" si="1"/>
        <v>0</v>
      </c>
    </row>
    <row r="8" spans="1:9">
      <c r="A8" t="s">
        <v>35</v>
      </c>
      <c r="B8" t="s">
        <v>32</v>
      </c>
      <c r="C8" t="s">
        <v>33</v>
      </c>
      <c r="D8" t="s">
        <v>34</v>
      </c>
      <c r="E8" t="s">
        <v>8</v>
      </c>
      <c r="G8">
        <f t="shared" si="0"/>
        <v>0</v>
      </c>
      <c r="I8">
        <f t="shared" si="1"/>
        <v>0</v>
      </c>
    </row>
    <row r="9" spans="1:9">
      <c r="A9" t="s">
        <v>39</v>
      </c>
      <c r="B9" t="s">
        <v>36</v>
      </c>
      <c r="C9" t="s">
        <v>37</v>
      </c>
      <c r="D9" t="s">
        <v>38</v>
      </c>
      <c r="E9" t="s">
        <v>8</v>
      </c>
      <c r="G9">
        <f t="shared" si="0"/>
        <v>0</v>
      </c>
      <c r="I9">
        <f t="shared" si="1"/>
        <v>0</v>
      </c>
    </row>
    <row r="10" spans="1:9">
      <c r="A10" t="s">
        <v>43</v>
      </c>
      <c r="B10" t="s">
        <v>40</v>
      </c>
      <c r="C10" t="s">
        <v>41</v>
      </c>
      <c r="D10" t="s">
        <v>42</v>
      </c>
      <c r="E10" t="s">
        <v>13</v>
      </c>
      <c r="G10">
        <f t="shared" si="0"/>
        <v>0</v>
      </c>
      <c r="I10">
        <f t="shared" si="1"/>
        <v>0</v>
      </c>
    </row>
    <row r="11" spans="1:9">
      <c r="A11" t="s">
        <v>47</v>
      </c>
      <c r="B11" t="s">
        <v>44</v>
      </c>
      <c r="C11" t="s">
        <v>45</v>
      </c>
      <c r="D11" t="s">
        <v>46</v>
      </c>
      <c r="E11" t="s">
        <v>8</v>
      </c>
      <c r="G11">
        <f t="shared" si="0"/>
        <v>0</v>
      </c>
      <c r="I11">
        <f t="shared" si="1"/>
        <v>0</v>
      </c>
    </row>
    <row r="12" spans="1:9">
      <c r="A12" t="s">
        <v>51</v>
      </c>
      <c r="B12" t="s">
        <v>48</v>
      </c>
      <c r="C12" t="s">
        <v>49</v>
      </c>
      <c r="D12" t="s">
        <v>50</v>
      </c>
      <c r="E12" t="s">
        <v>22</v>
      </c>
      <c r="G12">
        <f t="shared" si="0"/>
        <v>0</v>
      </c>
      <c r="I12">
        <f t="shared" si="1"/>
        <v>0</v>
      </c>
    </row>
    <row r="13" spans="1:9">
      <c r="A13" t="s">
        <v>55</v>
      </c>
      <c r="B13" t="s">
        <v>52</v>
      </c>
      <c r="C13" t="s">
        <v>53</v>
      </c>
      <c r="D13" t="s">
        <v>54</v>
      </c>
      <c r="E13" t="s">
        <v>8</v>
      </c>
      <c r="G13">
        <f t="shared" si="0"/>
        <v>0</v>
      </c>
      <c r="I13">
        <f t="shared" si="1"/>
        <v>0</v>
      </c>
    </row>
    <row r="14" spans="1:9">
      <c r="A14" t="s">
        <v>59</v>
      </c>
      <c r="B14" t="s">
        <v>56</v>
      </c>
      <c r="C14" t="s">
        <v>57</v>
      </c>
      <c r="D14" t="s">
        <v>58</v>
      </c>
      <c r="E14" t="s">
        <v>22</v>
      </c>
      <c r="G14">
        <f t="shared" si="0"/>
        <v>0</v>
      </c>
      <c r="I14">
        <f t="shared" si="1"/>
        <v>0</v>
      </c>
    </row>
    <row r="15" spans="1:9">
      <c r="A15" t="s">
        <v>63</v>
      </c>
      <c r="B15" t="s">
        <v>60</v>
      </c>
      <c r="C15" t="s">
        <v>61</v>
      </c>
      <c r="D15" t="s">
        <v>62</v>
      </c>
      <c r="E15" t="s">
        <v>8</v>
      </c>
      <c r="G15">
        <f t="shared" si="0"/>
        <v>0</v>
      </c>
      <c r="I15">
        <f t="shared" si="1"/>
        <v>1</v>
      </c>
    </row>
    <row r="16" spans="1:9">
      <c r="A16" t="s">
        <v>67</v>
      </c>
      <c r="B16" t="s">
        <v>64</v>
      </c>
      <c r="C16" t="s">
        <v>65</v>
      </c>
      <c r="D16" t="s">
        <v>66</v>
      </c>
      <c r="E16" t="s">
        <v>22</v>
      </c>
      <c r="G16">
        <f t="shared" si="0"/>
        <v>0</v>
      </c>
      <c r="I16">
        <f t="shared" si="1"/>
        <v>0</v>
      </c>
    </row>
    <row r="17" spans="1:9">
      <c r="A17" t="s">
        <v>71</v>
      </c>
      <c r="B17" t="s">
        <v>68</v>
      </c>
      <c r="C17" t="s">
        <v>69</v>
      </c>
      <c r="D17" t="s">
        <v>70</v>
      </c>
      <c r="E17" t="s">
        <v>8</v>
      </c>
      <c r="G17">
        <f t="shared" si="0"/>
        <v>0</v>
      </c>
      <c r="I17">
        <f t="shared" si="1"/>
        <v>0</v>
      </c>
    </row>
    <row r="18" spans="1:9">
      <c r="A18" t="s">
        <v>75</v>
      </c>
      <c r="B18" t="s">
        <v>72</v>
      </c>
      <c r="C18" t="s">
        <v>73</v>
      </c>
      <c r="D18" t="s">
        <v>74</v>
      </c>
      <c r="E18" t="s">
        <v>13</v>
      </c>
      <c r="G18">
        <f t="shared" si="0"/>
        <v>0</v>
      </c>
      <c r="I18">
        <f t="shared" si="1"/>
        <v>0</v>
      </c>
    </row>
    <row r="19" spans="1:9">
      <c r="A19" t="s">
        <v>79</v>
      </c>
      <c r="B19" t="s">
        <v>76</v>
      </c>
      <c r="C19" t="s">
        <v>77</v>
      </c>
      <c r="D19" t="s">
        <v>78</v>
      </c>
      <c r="E19" t="s">
        <v>13</v>
      </c>
      <c r="G19">
        <f t="shared" si="0"/>
        <v>1</v>
      </c>
      <c r="I19">
        <f t="shared" si="1"/>
        <v>0</v>
      </c>
    </row>
    <row r="20" spans="1:9">
      <c r="A20" t="s">
        <v>83</v>
      </c>
      <c r="B20" t="s">
        <v>80</v>
      </c>
      <c r="C20" t="s">
        <v>81</v>
      </c>
      <c r="D20" t="s">
        <v>82</v>
      </c>
      <c r="E20" t="s">
        <v>8</v>
      </c>
      <c r="G20">
        <f t="shared" si="0"/>
        <v>0</v>
      </c>
      <c r="I20">
        <f t="shared" si="1"/>
        <v>0</v>
      </c>
    </row>
    <row r="21" spans="1:9">
      <c r="A21" t="s">
        <v>87</v>
      </c>
      <c r="B21" t="s">
        <v>84</v>
      </c>
      <c r="C21" t="s">
        <v>85</v>
      </c>
      <c r="D21" t="s">
        <v>86</v>
      </c>
      <c r="E21" t="s">
        <v>13</v>
      </c>
      <c r="G21">
        <f t="shared" si="0"/>
        <v>0</v>
      </c>
      <c r="I21">
        <f t="shared" si="1"/>
        <v>0</v>
      </c>
    </row>
    <row r="22" spans="1:9">
      <c r="F22" s="1" t="s">
        <v>112</v>
      </c>
      <c r="G22" s="1">
        <f>SUM(G2:G21)</f>
        <v>1</v>
      </c>
      <c r="H22" s="1" t="s">
        <v>113</v>
      </c>
      <c r="I22" s="1">
        <f>SUM(I2:I21)</f>
        <v>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selection activeCell="M13" sqref="M13"/>
    </sheetView>
  </sheetViews>
  <sheetFormatPr defaultRowHeight="14.5"/>
  <cols>
    <col min="4" max="4" width="17.81640625" bestFit="1" customWidth="1"/>
  </cols>
  <sheetData>
    <row r="1" spans="1:4">
      <c r="A1" t="s">
        <v>4</v>
      </c>
      <c r="B1" t="s">
        <v>88</v>
      </c>
      <c r="C1" t="s">
        <v>89</v>
      </c>
      <c r="D1" t="s">
        <v>90</v>
      </c>
    </row>
    <row r="2" spans="1:4">
      <c r="A2" t="s">
        <v>9</v>
      </c>
      <c r="B2" t="s">
        <v>91</v>
      </c>
      <c r="C2">
        <v>5</v>
      </c>
      <c r="D2" t="e">
        <f>VLOOKUP(A2,ticket!A1:E21,3,0)</f>
        <v>#N/A</v>
      </c>
    </row>
    <row r="3" spans="1:4">
      <c r="A3" t="s">
        <v>14</v>
      </c>
      <c r="B3" t="s">
        <v>92</v>
      </c>
      <c r="C3">
        <v>2</v>
      </c>
      <c r="D3" t="str">
        <f>VLOOKUP(A3,ticket!A2:E22,3,0)</f>
        <v>2021-08-11 12:34:00</v>
      </c>
    </row>
    <row r="4" spans="1:4">
      <c r="A4" t="s">
        <v>18</v>
      </c>
      <c r="B4" t="s">
        <v>93</v>
      </c>
      <c r="C4">
        <v>3</v>
      </c>
      <c r="D4" t="str">
        <f>VLOOKUP(A4,ticket!A3:E23,3,0)</f>
        <v>2021-08-12 17:31:00</v>
      </c>
    </row>
    <row r="5" spans="1:4">
      <c r="A5" t="s">
        <v>23</v>
      </c>
      <c r="B5" t="s">
        <v>94</v>
      </c>
      <c r="C5">
        <v>3</v>
      </c>
      <c r="D5" t="str">
        <f>VLOOKUP(A5,ticket!A4:E24,3,0)</f>
        <v>2021-08-16 16:29:00</v>
      </c>
    </row>
    <row r="6" spans="1:4">
      <c r="A6" t="s">
        <v>27</v>
      </c>
      <c r="B6" t="s">
        <v>95</v>
      </c>
      <c r="C6">
        <v>5</v>
      </c>
      <c r="D6" t="str">
        <f>VLOOKUP(A6,ticket!A5:E25,3,0)</f>
        <v>2021-08-07 18:10:00</v>
      </c>
    </row>
    <row r="7" spans="1:4">
      <c r="A7" t="s">
        <v>31</v>
      </c>
      <c r="B7" t="s">
        <v>96</v>
      </c>
      <c r="C7">
        <v>2</v>
      </c>
      <c r="D7" t="str">
        <f>VLOOKUP(A7,ticket!A6:E26,3,0)</f>
        <v>2021-08-16 14:50:00</v>
      </c>
    </row>
    <row r="8" spans="1:4">
      <c r="A8" t="s">
        <v>35</v>
      </c>
      <c r="B8" t="s">
        <v>97</v>
      </c>
      <c r="C8">
        <v>2</v>
      </c>
      <c r="D8" t="str">
        <f>VLOOKUP(A8,ticket!A7:E27,3,0)</f>
        <v>2021-08-07 11:37:00</v>
      </c>
    </row>
    <row r="9" spans="1:4">
      <c r="A9" t="s">
        <v>39</v>
      </c>
      <c r="B9" t="s">
        <v>98</v>
      </c>
      <c r="C9">
        <v>4</v>
      </c>
      <c r="D9" t="str">
        <f>VLOOKUP(A9,ticket!A8:E28,3,0)</f>
        <v>2021-08-08 12:13:00</v>
      </c>
    </row>
    <row r="10" spans="1:4">
      <c r="A10" t="s">
        <v>43</v>
      </c>
      <c r="B10" t="s">
        <v>99</v>
      </c>
      <c r="C10">
        <v>1</v>
      </c>
      <c r="D10" t="str">
        <f>VLOOKUP(A10,ticket!A9:E29,3,0)</f>
        <v>2021-08-03 07:39:00</v>
      </c>
    </row>
    <row r="11" spans="1:4">
      <c r="A11" t="s">
        <v>47</v>
      </c>
      <c r="B11" t="s">
        <v>100</v>
      </c>
      <c r="C11">
        <v>4</v>
      </c>
      <c r="D11" t="str">
        <f>VLOOKUP(A11,ticket!A10:E30,3,0)</f>
        <v>2021-08-16 06:53:00</v>
      </c>
    </row>
    <row r="12" spans="1:4">
      <c r="A12" t="s">
        <v>51</v>
      </c>
      <c r="B12" t="s">
        <v>101</v>
      </c>
      <c r="C12">
        <v>4</v>
      </c>
      <c r="D12" t="str">
        <f>VLOOKUP(A12,ticket!A11:E31,3,0)</f>
        <v>2021-08-08 16:03:00</v>
      </c>
    </row>
    <row r="13" spans="1:4">
      <c r="A13" t="s">
        <v>55</v>
      </c>
      <c r="B13" t="s">
        <v>102</v>
      </c>
      <c r="C13">
        <v>5</v>
      </c>
      <c r="D13" t="str">
        <f>VLOOKUP(A13,ticket!A12:E32,3,0)</f>
        <v>2021-08-21 13:50:00</v>
      </c>
    </row>
    <row r="14" spans="1:4">
      <c r="A14" t="s">
        <v>59</v>
      </c>
      <c r="B14" t="s">
        <v>103</v>
      </c>
      <c r="C14">
        <v>1</v>
      </c>
      <c r="D14" t="str">
        <f>VLOOKUP(A14,ticket!A13:E33,3,0)</f>
        <v>2021-08-08 16:28:00</v>
      </c>
    </row>
    <row r="15" spans="1:4">
      <c r="A15" t="s">
        <v>63</v>
      </c>
      <c r="B15" t="s">
        <v>104</v>
      </c>
      <c r="C15">
        <v>1</v>
      </c>
      <c r="D15" t="str">
        <f>VLOOKUP(A15,ticket!A14:E34,3,0)</f>
        <v>2021-08-19 07:56:00</v>
      </c>
    </row>
    <row r="16" spans="1:4">
      <c r="A16" t="s">
        <v>67</v>
      </c>
      <c r="B16" t="s">
        <v>105</v>
      </c>
      <c r="C16">
        <v>5</v>
      </c>
      <c r="D16" t="str">
        <f>VLOOKUP(A16,ticket!A15:E35,3,0)</f>
        <v>2021-08-02 12:36:00</v>
      </c>
    </row>
    <row r="17" spans="1:4">
      <c r="A17" t="s">
        <v>71</v>
      </c>
      <c r="B17" t="s">
        <v>106</v>
      </c>
      <c r="C17">
        <v>1</v>
      </c>
      <c r="D17" t="str">
        <f>VLOOKUP(A17,ticket!A16:E36,3,0)</f>
        <v>2021-08-03 03:51:00</v>
      </c>
    </row>
    <row r="18" spans="1:4">
      <c r="A18" t="s">
        <v>75</v>
      </c>
      <c r="B18" t="s">
        <v>107</v>
      </c>
      <c r="C18">
        <v>5</v>
      </c>
      <c r="D18" t="str">
        <f>VLOOKUP(A18,ticket!A17:E37,3,0)</f>
        <v>2021-08-11 16:26:00</v>
      </c>
    </row>
    <row r="19" spans="1:4">
      <c r="A19" t="s">
        <v>79</v>
      </c>
      <c r="B19" t="s">
        <v>108</v>
      </c>
      <c r="C19">
        <v>1</v>
      </c>
      <c r="D19" t="str">
        <f>VLOOKUP(A19,ticket!A18:E38,3,0)</f>
        <v>2021-08-12 06:06:00</v>
      </c>
    </row>
    <row r="20" spans="1:4">
      <c r="A20" t="s">
        <v>83</v>
      </c>
      <c r="B20" t="s">
        <v>109</v>
      </c>
      <c r="C20">
        <v>5</v>
      </c>
      <c r="D20" t="str">
        <f>VLOOKUP(A20,ticket!A19:E39,3,0)</f>
        <v>2021-08-21 01:33:00</v>
      </c>
    </row>
    <row r="21" spans="1:4">
      <c r="A21" t="s">
        <v>87</v>
      </c>
      <c r="B21" t="s">
        <v>110</v>
      </c>
      <c r="C21">
        <v>2</v>
      </c>
      <c r="D21" t="str">
        <f>VLOOKUP(A21,ticket!A20:E40,3,0)</f>
        <v>2021-08-17 13:09:00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Manvith Reddy Chilla</cp:lastModifiedBy>
  <dcterms:created xsi:type="dcterms:W3CDTF">2025-12-03T04:33:35Z</dcterms:created>
  <dcterms:modified xsi:type="dcterms:W3CDTF">2025-12-03T06:21:50Z</dcterms:modified>
</cp:coreProperties>
</file>